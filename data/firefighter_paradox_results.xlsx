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fighter (3) FirefighterPara" sheetId="1" r:id="rId5"/>
    <sheet state="visible" name="Pivot Table 3" sheetId="2" r:id="rId6"/>
    <sheet state="visible" name="Pivot Table 2" sheetId="3" r:id="rId7"/>
    <sheet state="visible" name="Pivot Table 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<sst xmlns="http://schemas.openxmlformats.org/spreadsheetml/2006/main" count="30" uniqueCount="19">
  <si>
    <t>[run number]</t>
  </si>
  <si>
    <t>wind-speed</t>
  </si>
  <si>
    <t>regrowth-rate</t>
  </si>
  <si>
    <t>num-helicopters</t>
  </si>
  <si>
    <t>num-firefighters</t>
  </si>
  <si>
    <t>budget</t>
  </si>
  <si>
    <t>humidity</t>
  </si>
  <si>
    <t>lightning-rate</t>
  </si>
  <si>
    <t>camper-rate</t>
  </si>
  <si>
    <t>initial-fire?</t>
  </si>
  <si>
    <t>[step]</t>
  </si>
  <si>
    <t>biggest-fire</t>
  </si>
  <si>
    <t>length fire-sizes</t>
  </si>
  <si>
    <t>tree-density</t>
  </si>
  <si>
    <t>villagers-lost</t>
  </si>
  <si>
    <t>AVERAGE of villagers-lost</t>
  </si>
  <si>
    <t>AVERAGE of biggest-fire</t>
  </si>
  <si>
    <t>AVERAGE of tree-density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</si>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</sst>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Villagers Lost by Firefighter/Helicopter Count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3'!$A$2:$A$5</c:f>
            </c:strRef>
          </c:cat>
          <c:val>
            <c:numRef>
              <c:f>'Pivot Table 3'!$C$2:$C$5</c:f>
              <c:numCache/>
            </c:numRef>
          </c:val>
        </c:ser>
        <c:ser>
          <c:idx val="2"/>
          <c:order val="2"/>
          <c:tx>
            <c:strRef>
              <c:f>'Pivot Table 3'!$D$1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Table 3'!$A$2:$A$5</c:f>
            </c:strRef>
          </c:cat>
          <c:val>
            <c:numRef>
              <c:f>'Pivot Table 3'!$D$2:$D$5</c:f>
              <c:numCache/>
            </c:numRef>
          </c:val>
        </c:ser>
        <c:axId val="1558676228"/>
        <c:axId val="1621735505"/>
      </c:barChart>
      <c:catAx>
        <c:axId val="1558676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villagers-lost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735505"/>
      </c:catAx>
      <c:valAx>
        <c:axId val="1621735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676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Tree Density by Firefighter/Helicopter Count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2'!$A$3:$A$5</c:f>
            </c:strRef>
          </c:cat>
          <c:val>
            <c:numRef>
              <c:f>'Pivot Table 2'!$B$3:$B$5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2'!$A$3:$A$5</c:f>
            </c:strRef>
          </c:cat>
          <c:val>
            <c:numRef>
              <c:f>'Pivot Table 2'!$C$3:$C$5</c:f>
              <c:numCache/>
            </c:numRef>
          </c:val>
        </c:ser>
        <c:axId val="1641359834"/>
        <c:axId val="1135817228"/>
      </c:barChart>
      <c:catAx>
        <c:axId val="1641359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num-firefighters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817228"/>
      </c:catAx>
      <c:valAx>
        <c:axId val="1135817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359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Biggest Fire by Firefighter/Helicopter Count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1'!$A$3:$A$5</c:f>
            </c:strRef>
          </c:cat>
          <c:val>
            <c:numRef>
              <c:f>'Pivot Table 1'!$B$3:$B$5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Table 1'!$A$3:$A$5</c:f>
            </c:strRef>
          </c:cat>
          <c:val>
            <c:numRef>
              <c:f>'Pivot Table 1'!$C$3:$C$5</c:f>
              <c:numCache/>
            </c:numRef>
          </c:val>
        </c:ser>
        <c:axId val="1371158712"/>
        <c:axId val="1473658788"/>
      </c:barChart>
      <c:catAx>
        <c:axId val="1371158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num-firefighters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658788"/>
      </c:catAx>
      <c:valAx>
        <c:axId val="1473658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158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6</xdr:row>
      <xdr:rowOff>123825</xdr:rowOff>
    </xdr:from>
    <xdr:ext cx="44005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6</xdr:row>
      <xdr:rowOff>171450</xdr:rowOff>
    </xdr:from>
    <xdr:ext cx="34385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6</xdr:row>
      <xdr:rowOff>133350</xdr:rowOff>
    </xdr:from>
    <xdr:ext cx="31908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31" sheet="firefighter (3) FirefighterPara"/>
  </cacheSource>
  <cacheFields>
    <cacheField name="[run number]" numFmtId="0">
      <sharedItems containsSemiMixedTypes="0" containsString="0" containsNumber="1" containsInteger="1">
        <n v="2.0"/>
        <n v="4.0"/>
        <n v="5.0"/>
        <n v="3.0"/>
        <n v="6.0"/>
        <n v="7.0"/>
        <n v="1.0"/>
        <n v="8.0"/>
        <n v="9.0"/>
        <n v="10.0"/>
        <n v="11.0"/>
        <n v="12.0"/>
        <n v="13.0"/>
        <n v="14.0"/>
        <n v="16.0"/>
        <n v="17.0"/>
        <n v="18.0"/>
        <n v="19.0"/>
        <n v="15.0"/>
        <n v="20.0"/>
        <n v="22.0"/>
        <n v="23.0"/>
        <n v="21.0"/>
        <n v="24.0"/>
        <n v="25.0"/>
        <n v="26.0"/>
        <n v="27.0"/>
        <n v="28.0"/>
        <n v="29.0"/>
        <n v="30.0"/>
      </sharedItems>
    </cacheField>
    <cacheField name="wind-speed" numFmtId="0">
      <sharedItems containsSemiMixedTypes="0" containsString="0" containsNumber="1" containsInteger="1">
        <n v="5.0"/>
      </sharedItems>
    </cacheField>
    <cacheField name="regrowth-rate" numFmtId="0">
      <sharedItems containsSemiMixedTypes="0" containsString="0" containsNumber="1">
        <n v="0.1"/>
      </sharedItems>
    </cacheField>
    <cacheField name="num-helicopters" numFmtId="0">
      <sharedItems containsSemiMixedTypes="0" containsString="0" containsNumber="1" containsInteger="1">
        <n v="0.0"/>
        <n v="2.0"/>
      </sharedItems>
    </cacheField>
    <cacheField name="num-firefighters" numFmtId="0">
      <sharedItems containsSemiMixedTypes="0" containsString="0" containsNumber="1" containsInteger="1">
        <n v="0.0"/>
        <n v="10.0"/>
        <n v="30.0"/>
      </sharedItems>
    </cacheField>
    <cacheField name="budget" numFmtId="0">
      <sharedItems containsSemiMixedTypes="0" containsString="0" containsNumber="1" containsInteger="1">
        <n v="100.0"/>
      </sharedItems>
    </cacheField>
    <cacheField name="humidity" numFmtId="0">
      <sharedItems containsSemiMixedTypes="0" containsString="0" containsNumber="1" containsInteger="1">
        <n v="30.0"/>
      </sharedItems>
    </cacheField>
    <cacheField name="lightning-rate" numFmtId="0">
      <sharedItems containsSemiMixedTypes="0" containsString="0" containsNumber="1" containsInteger="1">
        <n v="3.0"/>
      </sharedItems>
    </cacheField>
    <cacheField name="camper-rate" numFmtId="0">
      <sharedItems containsSemiMixedTypes="0" containsString="0" containsNumber="1" containsInteger="1">
        <n v="1.0"/>
      </sharedItems>
    </cacheField>
    <cacheField name="initial-fire?" numFmtId="0">
      <sharedItems>
        <b v="0"/>
      </sharedItems>
    </cacheField>
    <cacheField name="[step]" numFmtId="0">
      <sharedItems containsSemiMixedTypes="0" containsString="0" containsNumber="1" containsInteger="1">
        <n v="2000.0"/>
      </sharedItems>
    </cacheField>
    <cacheField name="biggest-fire" numFmtId="0">
      <sharedItems containsSemiMixedTypes="0" containsString="0" containsNumber="1" containsInteger="1">
        <n v="783.0"/>
        <n v="1449.0"/>
        <n v="699.0"/>
        <n v="969.0"/>
        <n v="706.0"/>
        <n v="624.0"/>
        <n v="725.0"/>
        <n v="528.0"/>
        <n v="868.0"/>
        <n v="1243.0"/>
        <n v="648.0"/>
        <n v="685.0"/>
        <n v="745.0"/>
        <n v="756.0"/>
        <n v="602.0"/>
        <n v="607.0"/>
        <n v="1143.0"/>
        <n v="760.0"/>
        <n v="927.0"/>
        <n v="1330.0"/>
        <n v="538.0"/>
        <n v="693.0"/>
        <n v="584.0"/>
        <n v="628.0"/>
        <n v="1186.0"/>
        <n v="731.0"/>
        <n v="1133.0"/>
        <n v="849.0"/>
        <n v="763.0"/>
        <n v="742.0"/>
      </sharedItems>
    </cacheField>
    <cacheField name="length fire-sizes" numFmtId="0">
      <sharedItems containsSemiMixedTypes="0" containsString="0" containsNumber="1" containsInteger="1">
        <n v="44.0"/>
        <n v="46.0"/>
        <n v="52.0"/>
        <n v="47.0"/>
        <n v="49.0"/>
        <n v="36.0"/>
        <n v="51.0"/>
        <n v="42.0"/>
        <n v="41.0"/>
        <n v="54.0"/>
        <n v="45.0"/>
        <n v="53.0"/>
        <n v="35.0"/>
        <n v="50.0"/>
        <n v="48.0"/>
        <n v="58.0"/>
        <n v="37.0"/>
      </sharedItems>
    </cacheField>
    <cacheField name="tree-density" numFmtId="0">
      <sharedItems containsSemiMixedTypes="0" containsString="0" containsNumber="1">
        <n v="38.8429752066115"/>
        <n v="33.7703049301795"/>
        <n v="31.0059846110002"/>
        <n v="39.8119122257053"/>
        <n v="44.6280991735537"/>
        <n v="35.4516956397834"/>
        <n v="37.5890567113137"/>
        <n v="29.6950698204616"/>
        <n v="23.3399829011114"/>
        <n v="40.9518381305215"/>
        <n v="34.51125676831"/>
        <n v="20.5756625819321"/>
        <n v="36.3636363636363"/>
        <n v="35.9361641493302"/>
        <n v="35.6796808207466"/>
        <n v="45.283556568823"/>
        <n v="33.9412938159019"/>
        <n v="40.2963807352522"/>
        <n v="17.469364491308"/>
        <n v="35.7936734112282"/>
        <n v="37.2755770874893"/>
        <n v="42.1772584781989"/>
        <n v="30.6070105443146"/>
        <n v="41.5218010829296"/>
        <n v="47.4779139355941"/>
        <n v="41.8637788543744"/>
        <n v="29.438586491878"/>
        <n v="38.5579937304075"/>
        <n v="30.920490168139"/>
        <n v="47.819891707039"/>
      </sharedItems>
    </cacheField>
    <cacheField name="villagers-lost" numFmtId="0">
      <sharedItems containsSemiMixedTypes="0" containsString="0" containsNumber="1" containsInteger="1">
        <n v="0.0"/>
        <n v="2.0"/>
        <n v="1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D6" firstHeaderRow="0" firstDataRow="1" firstDataCol="1"/>
  <pivotFields>
    <pivotField name="[run number]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ind-speed" compact="0" outline="0" multipleItemSelectionAllowed="1" showAll="0">
      <items>
        <item x="0"/>
        <item t="default"/>
      </items>
    </pivotField>
    <pivotField name="regrowth-rate" compact="0" outline="0" multipleItemSelectionAllowed="1" showAll="0">
      <items>
        <item x="0"/>
        <item t="default"/>
      </items>
    </pivotField>
    <pivotField name="num-helicopters" axis="axisCol" compact="0" outline="0" multipleItemSelectionAllowed="1" showAll="0" sortType="ascending">
      <items>
        <item x="0"/>
        <item x="1"/>
        <item t="default"/>
      </items>
    </pivotField>
    <pivotField name="num-firefighters" axis="axisRow" compact="0" outline="0" multipleItemSelectionAllowed="1" showAll="0" sortType="ascending">
      <items>
        <item x="0"/>
        <item x="1"/>
        <item x="2"/>
        <item t="default"/>
      </items>
    </pivotField>
    <pivotField name="budget" compact="0" outline="0" multipleItemSelectionAllowed="1" showAll="0">
      <items>
        <item x="0"/>
        <item t="default"/>
      </items>
    </pivotField>
    <pivotField name="humidity" compact="0" outline="0" multipleItemSelectionAllowed="1" showAll="0">
      <items>
        <item x="0"/>
        <item t="default"/>
      </items>
    </pivotField>
    <pivotField name="lightning-rate" compact="0" outline="0" multipleItemSelectionAllowed="1" showAll="0">
      <items>
        <item x="0"/>
        <item t="default"/>
      </items>
    </pivotField>
    <pivotField name="camper-rate" compact="0" outline="0" multipleItemSelectionAllowed="1" showAll="0">
      <items>
        <item x="0"/>
        <item t="default"/>
      </items>
    </pivotField>
    <pivotField name="initial-fire?" compact="0" outline="0" multipleItemSelectionAllowed="1" showAll="0">
      <items>
        <item x="0"/>
        <item t="default"/>
      </items>
    </pivotField>
    <pivotField name="[step]" compact="0" outline="0" multipleItemSelectionAllowed="1" showAll="0">
      <items>
        <item x="0"/>
        <item t="default"/>
      </items>
    </pivotField>
    <pivotField name="biggest-f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length fire-siz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ee-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illagers-lost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3"/>
  </colFields>
  <dataFields>
    <dataField name="AVERAGE of villagers-lost" fld="14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D6" firstHeaderRow="0" firstDataRow="1" firstDataCol="1"/>
  <pivotFields>
    <pivotField name="[run number]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ind-speed" compact="0" outline="0" multipleItemSelectionAllowed="1" showAll="0">
      <items>
        <item x="0"/>
        <item t="default"/>
      </items>
    </pivotField>
    <pivotField name="regrowth-rate" compact="0" outline="0" multipleItemSelectionAllowed="1" showAll="0">
      <items>
        <item x="0"/>
        <item t="default"/>
      </items>
    </pivotField>
    <pivotField name="num-helicopters" axis="axisCol" compact="0" outline="0" multipleItemSelectionAllowed="1" showAll="0" sortType="ascending">
      <items>
        <item x="0"/>
        <item x="1"/>
        <item t="default"/>
      </items>
    </pivotField>
    <pivotField name="num-firefighters" axis="axisRow" compact="0" outline="0" multipleItemSelectionAllowed="1" showAll="0" sortType="ascending">
      <items>
        <item x="0"/>
        <item x="1"/>
        <item x="2"/>
        <item t="default"/>
      </items>
    </pivotField>
    <pivotField name="budget" compact="0" outline="0" multipleItemSelectionAllowed="1" showAll="0">
      <items>
        <item x="0"/>
        <item t="default"/>
      </items>
    </pivotField>
    <pivotField name="humidity" compact="0" outline="0" multipleItemSelectionAllowed="1" showAll="0">
      <items>
        <item x="0"/>
        <item t="default"/>
      </items>
    </pivotField>
    <pivotField name="lightning-rate" compact="0" outline="0" multipleItemSelectionAllowed="1" showAll="0">
      <items>
        <item x="0"/>
        <item t="default"/>
      </items>
    </pivotField>
    <pivotField name="camper-rate" compact="0" outline="0" multipleItemSelectionAllowed="1" showAll="0">
      <items>
        <item x="0"/>
        <item t="default"/>
      </items>
    </pivotField>
    <pivotField name="initial-fire?" compact="0" outline="0" multipleItemSelectionAllowed="1" showAll="0">
      <items>
        <item x="0"/>
        <item t="default"/>
      </items>
    </pivotField>
    <pivotField name="[step]" compact="0" outline="0" multipleItemSelectionAllowed="1" showAll="0">
      <items>
        <item x="0"/>
        <item t="default"/>
      </items>
    </pivotField>
    <pivotField name="biggest-f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length fire-siz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ee-dens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illagers-lo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3"/>
  </colFields>
  <dataFields>
    <dataField name="AVERAGE of tree-density" fld="13" subtotal="average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[run number]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ind-speed" compact="0" outline="0" multipleItemSelectionAllowed="1" showAll="0">
      <items>
        <item x="0"/>
        <item t="default"/>
      </items>
    </pivotField>
    <pivotField name="regrowth-rate" compact="0" outline="0" multipleItemSelectionAllowed="1" showAll="0">
      <items>
        <item x="0"/>
        <item t="default"/>
      </items>
    </pivotField>
    <pivotField name="num-helicopters" axis="axisCol" compact="0" outline="0" multipleItemSelectionAllowed="1" showAll="0" sortType="ascending">
      <items>
        <item x="0"/>
        <item x="1"/>
        <item t="default"/>
      </items>
    </pivotField>
    <pivotField name="num-firefighters" axis="axisRow" compact="0" outline="0" multipleItemSelectionAllowed="1" showAll="0" sortType="ascending">
      <items>
        <item x="0"/>
        <item x="1"/>
        <item x="2"/>
        <item t="default"/>
      </items>
    </pivotField>
    <pivotField name="budget" compact="0" outline="0" multipleItemSelectionAllowed="1" showAll="0">
      <items>
        <item x="0"/>
        <item t="default"/>
      </items>
    </pivotField>
    <pivotField name="humidity" compact="0" outline="0" multipleItemSelectionAllowed="1" showAll="0">
      <items>
        <item x="0"/>
        <item t="default"/>
      </items>
    </pivotField>
    <pivotField name="lightning-rate" compact="0" outline="0" multipleItemSelectionAllowed="1" showAll="0">
      <items>
        <item x="0"/>
        <item t="default"/>
      </items>
    </pivotField>
    <pivotField name="camper-rate" compact="0" outline="0" multipleItemSelectionAllowed="1" showAll="0">
      <items>
        <item x="0"/>
        <item t="default"/>
      </items>
    </pivotField>
    <pivotField name="initial-fire?" compact="0" outline="0" multipleItemSelectionAllowed="1" showAll="0">
      <items>
        <item x="0"/>
        <item t="default"/>
      </items>
    </pivotField>
    <pivotField name="[step]" compact="0" outline="0" multipleItemSelectionAllowed="1" showAll="0">
      <items>
        <item x="0"/>
        <item t="default"/>
      </items>
    </pivotField>
    <pivotField name="biggest-fi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length fire-siz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ree-dens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illagers-los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colFields>
    <field x="3"/>
  </colFields>
  <dataFields>
    <dataField name="AVERAGE of biggest-fire" fld="1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2.0</v>
      </c>
      <c r="B2" s="1">
        <v>5.0</v>
      </c>
      <c r="C2" s="1">
        <v>0.1</v>
      </c>
      <c r="D2" s="1">
        <v>0.0</v>
      </c>
      <c r="E2" s="1">
        <v>0.0</v>
      </c>
      <c r="F2" s="1">
        <v>100.0</v>
      </c>
      <c r="G2" s="1">
        <v>30.0</v>
      </c>
      <c r="H2" s="1">
        <v>3.0</v>
      </c>
      <c r="I2" s="1">
        <v>1.0</v>
      </c>
      <c r="J2" s="1" t="b">
        <v>0</v>
      </c>
      <c r="K2" s="1">
        <v>2000.0</v>
      </c>
      <c r="L2" s="1">
        <v>783.0</v>
      </c>
      <c r="M2" s="1">
        <v>44.0</v>
      </c>
      <c r="N2" s="1">
        <v>38.8429752066115</v>
      </c>
      <c r="O2" s="1">
        <v>0.0</v>
      </c>
    </row>
    <row r="3">
      <c r="A3" s="1">
        <v>4.0</v>
      </c>
      <c r="B3" s="1">
        <v>5.0</v>
      </c>
      <c r="C3" s="1">
        <v>0.1</v>
      </c>
      <c r="D3" s="1">
        <v>0.0</v>
      </c>
      <c r="E3" s="1">
        <v>0.0</v>
      </c>
      <c r="F3" s="1">
        <v>100.0</v>
      </c>
      <c r="G3" s="1">
        <v>30.0</v>
      </c>
      <c r="H3" s="1">
        <v>3.0</v>
      </c>
      <c r="I3" s="1">
        <v>1.0</v>
      </c>
      <c r="J3" s="1" t="b">
        <v>0</v>
      </c>
      <c r="K3" s="1">
        <v>2000.0</v>
      </c>
      <c r="L3" s="1">
        <v>1449.0</v>
      </c>
      <c r="M3" s="1">
        <v>46.0</v>
      </c>
      <c r="N3" s="1">
        <v>33.7703049301795</v>
      </c>
      <c r="O3" s="1">
        <v>0.0</v>
      </c>
    </row>
    <row r="4">
      <c r="A4" s="1">
        <v>5.0</v>
      </c>
      <c r="B4" s="1">
        <v>5.0</v>
      </c>
      <c r="C4" s="1">
        <v>0.1</v>
      </c>
      <c r="D4" s="1">
        <v>0.0</v>
      </c>
      <c r="E4" s="1">
        <v>0.0</v>
      </c>
      <c r="F4" s="1">
        <v>100.0</v>
      </c>
      <c r="G4" s="1">
        <v>30.0</v>
      </c>
      <c r="H4" s="1">
        <v>3.0</v>
      </c>
      <c r="I4" s="1">
        <v>1.0</v>
      </c>
      <c r="J4" s="1" t="b">
        <v>0</v>
      </c>
      <c r="K4" s="1">
        <v>2000.0</v>
      </c>
      <c r="L4" s="1">
        <v>699.0</v>
      </c>
      <c r="M4" s="1">
        <v>52.0</v>
      </c>
      <c r="N4" s="1">
        <v>31.0059846110002</v>
      </c>
      <c r="O4" s="1">
        <v>0.0</v>
      </c>
    </row>
    <row r="5">
      <c r="A5" s="1">
        <v>3.0</v>
      </c>
      <c r="B5" s="1">
        <v>5.0</v>
      </c>
      <c r="C5" s="1">
        <v>0.1</v>
      </c>
      <c r="D5" s="1">
        <v>0.0</v>
      </c>
      <c r="E5" s="1">
        <v>0.0</v>
      </c>
      <c r="F5" s="1">
        <v>100.0</v>
      </c>
      <c r="G5" s="1">
        <v>30.0</v>
      </c>
      <c r="H5" s="1">
        <v>3.0</v>
      </c>
      <c r="I5" s="1">
        <v>1.0</v>
      </c>
      <c r="J5" s="1" t="b">
        <v>0</v>
      </c>
      <c r="K5" s="1">
        <v>2000.0</v>
      </c>
      <c r="L5" s="1">
        <v>969.0</v>
      </c>
      <c r="M5" s="1">
        <v>47.0</v>
      </c>
      <c r="N5" s="1">
        <v>39.8119122257053</v>
      </c>
      <c r="O5" s="1">
        <v>0.0</v>
      </c>
    </row>
    <row r="6">
      <c r="A6" s="1">
        <v>6.0</v>
      </c>
      <c r="B6" s="1">
        <v>5.0</v>
      </c>
      <c r="C6" s="1">
        <v>0.1</v>
      </c>
      <c r="D6" s="1">
        <v>0.0</v>
      </c>
      <c r="E6" s="1">
        <v>10.0</v>
      </c>
      <c r="F6" s="1">
        <v>100.0</v>
      </c>
      <c r="G6" s="1">
        <v>30.0</v>
      </c>
      <c r="H6" s="1">
        <v>3.0</v>
      </c>
      <c r="I6" s="1">
        <v>1.0</v>
      </c>
      <c r="J6" s="1" t="b">
        <v>0</v>
      </c>
      <c r="K6" s="1">
        <v>2000.0</v>
      </c>
      <c r="L6" s="1">
        <v>706.0</v>
      </c>
      <c r="M6" s="1">
        <v>49.0</v>
      </c>
      <c r="N6" s="1">
        <v>44.6280991735537</v>
      </c>
      <c r="O6" s="1">
        <v>0.0</v>
      </c>
    </row>
    <row r="7">
      <c r="A7" s="1">
        <v>7.0</v>
      </c>
      <c r="B7" s="1">
        <v>5.0</v>
      </c>
      <c r="C7" s="1">
        <v>0.1</v>
      </c>
      <c r="D7" s="1">
        <v>0.0</v>
      </c>
      <c r="E7" s="1">
        <v>10.0</v>
      </c>
      <c r="F7" s="1">
        <v>100.0</v>
      </c>
      <c r="G7" s="1">
        <v>30.0</v>
      </c>
      <c r="H7" s="1">
        <v>3.0</v>
      </c>
      <c r="I7" s="1">
        <v>1.0</v>
      </c>
      <c r="J7" s="1" t="b">
        <v>0</v>
      </c>
      <c r="K7" s="1">
        <v>2000.0</v>
      </c>
      <c r="L7" s="1">
        <v>624.0</v>
      </c>
      <c r="M7" s="1">
        <v>36.0</v>
      </c>
      <c r="N7" s="1">
        <v>35.4516956397834</v>
      </c>
      <c r="O7" s="1">
        <v>0.0</v>
      </c>
    </row>
    <row r="8">
      <c r="A8" s="1">
        <v>1.0</v>
      </c>
      <c r="B8" s="1">
        <v>5.0</v>
      </c>
      <c r="C8" s="1">
        <v>0.1</v>
      </c>
      <c r="D8" s="1">
        <v>0.0</v>
      </c>
      <c r="E8" s="1">
        <v>0.0</v>
      </c>
      <c r="F8" s="1">
        <v>100.0</v>
      </c>
      <c r="G8" s="1">
        <v>30.0</v>
      </c>
      <c r="H8" s="1">
        <v>3.0</v>
      </c>
      <c r="I8" s="1">
        <v>1.0</v>
      </c>
      <c r="J8" s="1" t="b">
        <v>0</v>
      </c>
      <c r="K8" s="1">
        <v>2000.0</v>
      </c>
      <c r="L8" s="1">
        <v>725.0</v>
      </c>
      <c r="M8" s="1">
        <v>51.0</v>
      </c>
      <c r="N8" s="1">
        <v>37.5890567113137</v>
      </c>
      <c r="O8" s="1">
        <v>0.0</v>
      </c>
    </row>
    <row r="9">
      <c r="A9" s="1">
        <v>8.0</v>
      </c>
      <c r="B9" s="1">
        <v>5.0</v>
      </c>
      <c r="C9" s="1">
        <v>0.1</v>
      </c>
      <c r="D9" s="1">
        <v>0.0</v>
      </c>
      <c r="E9" s="1">
        <v>10.0</v>
      </c>
      <c r="F9" s="1">
        <v>100.0</v>
      </c>
      <c r="G9" s="1">
        <v>30.0</v>
      </c>
      <c r="H9" s="1">
        <v>3.0</v>
      </c>
      <c r="I9" s="1">
        <v>1.0</v>
      </c>
      <c r="J9" s="1" t="b">
        <v>0</v>
      </c>
      <c r="K9" s="1">
        <v>2000.0</v>
      </c>
      <c r="L9" s="1">
        <v>528.0</v>
      </c>
      <c r="M9" s="1">
        <v>46.0</v>
      </c>
      <c r="N9" s="1">
        <v>29.6950698204616</v>
      </c>
      <c r="O9" s="1">
        <v>0.0</v>
      </c>
    </row>
    <row r="10">
      <c r="A10" s="1">
        <v>9.0</v>
      </c>
      <c r="B10" s="1">
        <v>5.0</v>
      </c>
      <c r="C10" s="1">
        <v>0.1</v>
      </c>
      <c r="D10" s="1">
        <v>0.0</v>
      </c>
      <c r="E10" s="1">
        <v>10.0</v>
      </c>
      <c r="F10" s="1">
        <v>100.0</v>
      </c>
      <c r="G10" s="1">
        <v>30.0</v>
      </c>
      <c r="H10" s="1">
        <v>3.0</v>
      </c>
      <c r="I10" s="1">
        <v>1.0</v>
      </c>
      <c r="J10" s="1" t="b">
        <v>0</v>
      </c>
      <c r="K10" s="1">
        <v>2000.0</v>
      </c>
      <c r="L10" s="1">
        <v>868.0</v>
      </c>
      <c r="M10" s="1">
        <v>47.0</v>
      </c>
      <c r="N10" s="1">
        <v>23.3399829011114</v>
      </c>
      <c r="O10" s="1">
        <v>0.0</v>
      </c>
    </row>
    <row r="11">
      <c r="A11" s="1">
        <v>10.0</v>
      </c>
      <c r="B11" s="1">
        <v>5.0</v>
      </c>
      <c r="C11" s="1">
        <v>0.1</v>
      </c>
      <c r="D11" s="1">
        <v>0.0</v>
      </c>
      <c r="E11" s="1">
        <v>10.0</v>
      </c>
      <c r="F11" s="1">
        <v>100.0</v>
      </c>
      <c r="G11" s="1">
        <v>30.0</v>
      </c>
      <c r="H11" s="1">
        <v>3.0</v>
      </c>
      <c r="I11" s="1">
        <v>1.0</v>
      </c>
      <c r="J11" s="1" t="b">
        <v>0</v>
      </c>
      <c r="K11" s="1">
        <v>2000.0</v>
      </c>
      <c r="L11" s="1">
        <v>1243.0</v>
      </c>
      <c r="M11" s="1">
        <v>42.0</v>
      </c>
      <c r="N11" s="1">
        <v>40.9518381305215</v>
      </c>
      <c r="O11" s="1">
        <v>0.0</v>
      </c>
    </row>
    <row r="12">
      <c r="A12" s="1">
        <v>11.0</v>
      </c>
      <c r="B12" s="1">
        <v>5.0</v>
      </c>
      <c r="C12" s="1">
        <v>0.1</v>
      </c>
      <c r="D12" s="1">
        <v>0.0</v>
      </c>
      <c r="E12" s="1">
        <v>30.0</v>
      </c>
      <c r="F12" s="1">
        <v>100.0</v>
      </c>
      <c r="G12" s="1">
        <v>30.0</v>
      </c>
      <c r="H12" s="1">
        <v>3.0</v>
      </c>
      <c r="I12" s="1">
        <v>1.0</v>
      </c>
      <c r="J12" s="1" t="b">
        <v>0</v>
      </c>
      <c r="K12" s="1">
        <v>2000.0</v>
      </c>
      <c r="L12" s="1">
        <v>648.0</v>
      </c>
      <c r="M12" s="1">
        <v>41.0</v>
      </c>
      <c r="N12" s="1">
        <v>34.51125676831</v>
      </c>
      <c r="O12" s="1">
        <v>0.0</v>
      </c>
    </row>
    <row r="13">
      <c r="A13" s="1">
        <v>12.0</v>
      </c>
      <c r="B13" s="1">
        <v>5.0</v>
      </c>
      <c r="C13" s="1">
        <v>0.1</v>
      </c>
      <c r="D13" s="1">
        <v>0.0</v>
      </c>
      <c r="E13" s="1">
        <v>30.0</v>
      </c>
      <c r="F13" s="1">
        <v>100.0</v>
      </c>
      <c r="G13" s="1">
        <v>30.0</v>
      </c>
      <c r="H13" s="1">
        <v>3.0</v>
      </c>
      <c r="I13" s="1">
        <v>1.0</v>
      </c>
      <c r="J13" s="1" t="b">
        <v>0</v>
      </c>
      <c r="K13" s="1">
        <v>2000.0</v>
      </c>
      <c r="L13" s="1">
        <v>685.0</v>
      </c>
      <c r="M13" s="1">
        <v>54.0</v>
      </c>
      <c r="N13" s="1">
        <v>20.5756625819321</v>
      </c>
      <c r="O13" s="1">
        <v>0.0</v>
      </c>
    </row>
    <row r="14">
      <c r="A14" s="1">
        <v>13.0</v>
      </c>
      <c r="B14" s="1">
        <v>5.0</v>
      </c>
      <c r="C14" s="1">
        <v>0.1</v>
      </c>
      <c r="D14" s="1">
        <v>0.0</v>
      </c>
      <c r="E14" s="1">
        <v>30.0</v>
      </c>
      <c r="F14" s="1">
        <v>100.0</v>
      </c>
      <c r="G14" s="1">
        <v>30.0</v>
      </c>
      <c r="H14" s="1">
        <v>3.0</v>
      </c>
      <c r="I14" s="1">
        <v>1.0</v>
      </c>
      <c r="J14" s="1" t="b">
        <v>0</v>
      </c>
      <c r="K14" s="1">
        <v>2000.0</v>
      </c>
      <c r="L14" s="1">
        <v>745.0</v>
      </c>
      <c r="M14" s="1">
        <v>41.0</v>
      </c>
      <c r="N14" s="1">
        <v>36.3636363636363</v>
      </c>
      <c r="O14" s="1">
        <v>0.0</v>
      </c>
    </row>
    <row r="15">
      <c r="A15" s="1">
        <v>14.0</v>
      </c>
      <c r="B15" s="1">
        <v>5.0</v>
      </c>
      <c r="C15" s="1">
        <v>0.1</v>
      </c>
      <c r="D15" s="1">
        <v>0.0</v>
      </c>
      <c r="E15" s="1">
        <v>30.0</v>
      </c>
      <c r="F15" s="1">
        <v>100.0</v>
      </c>
      <c r="G15" s="1">
        <v>30.0</v>
      </c>
      <c r="H15" s="1">
        <v>3.0</v>
      </c>
      <c r="I15" s="1">
        <v>1.0</v>
      </c>
      <c r="J15" s="1" t="b">
        <v>0</v>
      </c>
      <c r="K15" s="1">
        <v>2000.0</v>
      </c>
      <c r="L15" s="1">
        <v>756.0</v>
      </c>
      <c r="M15" s="1">
        <v>45.0</v>
      </c>
      <c r="N15" s="1">
        <v>35.9361641493302</v>
      </c>
      <c r="O15" s="1">
        <v>0.0</v>
      </c>
    </row>
    <row r="16">
      <c r="A16" s="1">
        <v>16.0</v>
      </c>
      <c r="B16" s="1">
        <v>5.0</v>
      </c>
      <c r="C16" s="1">
        <v>0.1</v>
      </c>
      <c r="D16" s="1">
        <v>2.0</v>
      </c>
      <c r="E16" s="1">
        <v>0.0</v>
      </c>
      <c r="F16" s="1">
        <v>100.0</v>
      </c>
      <c r="G16" s="1">
        <v>30.0</v>
      </c>
      <c r="H16" s="1">
        <v>3.0</v>
      </c>
      <c r="I16" s="1">
        <v>1.0</v>
      </c>
      <c r="J16" s="1" t="b">
        <v>0</v>
      </c>
      <c r="K16" s="1">
        <v>2000.0</v>
      </c>
      <c r="L16" s="1">
        <v>602.0</v>
      </c>
      <c r="M16" s="1">
        <v>53.0</v>
      </c>
      <c r="N16" s="1">
        <v>35.6796808207466</v>
      </c>
      <c r="O16" s="1">
        <v>0.0</v>
      </c>
    </row>
    <row r="17">
      <c r="A17" s="1">
        <v>17.0</v>
      </c>
      <c r="B17" s="1">
        <v>5.0</v>
      </c>
      <c r="C17" s="1">
        <v>0.1</v>
      </c>
      <c r="D17" s="1">
        <v>2.0</v>
      </c>
      <c r="E17" s="1">
        <v>0.0</v>
      </c>
      <c r="F17" s="1">
        <v>100.0</v>
      </c>
      <c r="G17" s="1">
        <v>30.0</v>
      </c>
      <c r="H17" s="1">
        <v>3.0</v>
      </c>
      <c r="I17" s="1">
        <v>1.0</v>
      </c>
      <c r="J17" s="1" t="b">
        <v>0</v>
      </c>
      <c r="K17" s="1">
        <v>2000.0</v>
      </c>
      <c r="L17" s="1">
        <v>607.0</v>
      </c>
      <c r="M17" s="1">
        <v>35.0</v>
      </c>
      <c r="N17" s="1">
        <v>45.283556568823</v>
      </c>
      <c r="O17" s="1">
        <v>0.0</v>
      </c>
    </row>
    <row r="18">
      <c r="A18" s="1">
        <v>18.0</v>
      </c>
      <c r="B18" s="1">
        <v>5.0</v>
      </c>
      <c r="C18" s="1">
        <v>0.1</v>
      </c>
      <c r="D18" s="1">
        <v>2.0</v>
      </c>
      <c r="E18" s="1">
        <v>0.0</v>
      </c>
      <c r="F18" s="1">
        <v>100.0</v>
      </c>
      <c r="G18" s="1">
        <v>30.0</v>
      </c>
      <c r="H18" s="1">
        <v>3.0</v>
      </c>
      <c r="I18" s="1">
        <v>1.0</v>
      </c>
      <c r="J18" s="1" t="b">
        <v>0</v>
      </c>
      <c r="K18" s="1">
        <v>2000.0</v>
      </c>
      <c r="L18" s="1">
        <v>1143.0</v>
      </c>
      <c r="M18" s="1">
        <v>50.0</v>
      </c>
      <c r="N18" s="1">
        <v>33.9412938159019</v>
      </c>
      <c r="O18" s="1">
        <v>2.0</v>
      </c>
    </row>
    <row r="19">
      <c r="A19" s="1">
        <v>19.0</v>
      </c>
      <c r="B19" s="1">
        <v>5.0</v>
      </c>
      <c r="C19" s="1">
        <v>0.1</v>
      </c>
      <c r="D19" s="1">
        <v>2.0</v>
      </c>
      <c r="E19" s="1">
        <v>0.0</v>
      </c>
      <c r="F19" s="1">
        <v>100.0</v>
      </c>
      <c r="G19" s="1">
        <v>30.0</v>
      </c>
      <c r="H19" s="1">
        <v>3.0</v>
      </c>
      <c r="I19" s="1">
        <v>1.0</v>
      </c>
      <c r="J19" s="1" t="b">
        <v>0</v>
      </c>
      <c r="K19" s="1">
        <v>2000.0</v>
      </c>
      <c r="L19" s="1">
        <v>760.0</v>
      </c>
      <c r="M19" s="1">
        <v>42.0</v>
      </c>
      <c r="N19" s="1">
        <v>40.2963807352522</v>
      </c>
      <c r="O19" s="1">
        <v>0.0</v>
      </c>
    </row>
    <row r="20">
      <c r="A20" s="1">
        <v>15.0</v>
      </c>
      <c r="B20" s="1">
        <v>5.0</v>
      </c>
      <c r="C20" s="1">
        <v>0.1</v>
      </c>
      <c r="D20" s="1">
        <v>0.0</v>
      </c>
      <c r="E20" s="1">
        <v>30.0</v>
      </c>
      <c r="F20" s="1">
        <v>100.0</v>
      </c>
      <c r="G20" s="1">
        <v>30.0</v>
      </c>
      <c r="H20" s="1">
        <v>3.0</v>
      </c>
      <c r="I20" s="1">
        <v>1.0</v>
      </c>
      <c r="J20" s="1" t="b">
        <v>0</v>
      </c>
      <c r="K20" s="1">
        <v>2000.0</v>
      </c>
      <c r="L20" s="1">
        <v>927.0</v>
      </c>
      <c r="M20" s="1">
        <v>42.0</v>
      </c>
      <c r="N20" s="1">
        <v>17.469364491308</v>
      </c>
      <c r="O20" s="1">
        <v>1.0</v>
      </c>
    </row>
    <row r="21">
      <c r="A21" s="1">
        <v>20.0</v>
      </c>
      <c r="B21" s="1">
        <v>5.0</v>
      </c>
      <c r="C21" s="1">
        <v>0.1</v>
      </c>
      <c r="D21" s="1">
        <v>2.0</v>
      </c>
      <c r="E21" s="1">
        <v>0.0</v>
      </c>
      <c r="F21" s="1">
        <v>100.0</v>
      </c>
      <c r="G21" s="1">
        <v>30.0</v>
      </c>
      <c r="H21" s="1">
        <v>3.0</v>
      </c>
      <c r="I21" s="1">
        <v>1.0</v>
      </c>
      <c r="J21" s="1" t="b">
        <v>0</v>
      </c>
      <c r="K21" s="1">
        <v>2000.0</v>
      </c>
      <c r="L21" s="1">
        <v>1330.0</v>
      </c>
      <c r="M21" s="1">
        <v>41.0</v>
      </c>
      <c r="N21" s="1">
        <v>35.7936734112282</v>
      </c>
      <c r="O21" s="1">
        <v>4.0</v>
      </c>
    </row>
    <row r="22">
      <c r="A22" s="1">
        <v>22.0</v>
      </c>
      <c r="B22" s="1">
        <v>5.0</v>
      </c>
      <c r="C22" s="1">
        <v>0.1</v>
      </c>
      <c r="D22" s="1">
        <v>2.0</v>
      </c>
      <c r="E22" s="1">
        <v>10.0</v>
      </c>
      <c r="F22" s="1">
        <v>100.0</v>
      </c>
      <c r="G22" s="1">
        <v>30.0</v>
      </c>
      <c r="H22" s="1">
        <v>3.0</v>
      </c>
      <c r="I22" s="1">
        <v>1.0</v>
      </c>
      <c r="J22" s="1" t="b">
        <v>0</v>
      </c>
      <c r="K22" s="1">
        <v>2000.0</v>
      </c>
      <c r="L22" s="1">
        <v>538.0</v>
      </c>
      <c r="M22" s="1">
        <v>48.0</v>
      </c>
      <c r="N22" s="1">
        <v>37.2755770874893</v>
      </c>
      <c r="O22" s="1">
        <v>0.0</v>
      </c>
    </row>
    <row r="23">
      <c r="A23" s="1">
        <v>23.0</v>
      </c>
      <c r="B23" s="1">
        <v>5.0</v>
      </c>
      <c r="C23" s="1">
        <v>0.1</v>
      </c>
      <c r="D23" s="1">
        <v>2.0</v>
      </c>
      <c r="E23" s="1">
        <v>10.0</v>
      </c>
      <c r="F23" s="1">
        <v>100.0</v>
      </c>
      <c r="G23" s="1">
        <v>30.0</v>
      </c>
      <c r="H23" s="1">
        <v>3.0</v>
      </c>
      <c r="I23" s="1">
        <v>1.0</v>
      </c>
      <c r="J23" s="1" t="b">
        <v>0</v>
      </c>
      <c r="K23" s="1">
        <v>2000.0</v>
      </c>
      <c r="L23" s="1">
        <v>693.0</v>
      </c>
      <c r="M23" s="1">
        <v>48.0</v>
      </c>
      <c r="N23" s="1">
        <v>42.1772584781989</v>
      </c>
      <c r="O23" s="1">
        <v>0.0</v>
      </c>
    </row>
    <row r="24">
      <c r="A24" s="1">
        <v>21.0</v>
      </c>
      <c r="B24" s="1">
        <v>5.0</v>
      </c>
      <c r="C24" s="1">
        <v>0.1</v>
      </c>
      <c r="D24" s="1">
        <v>2.0</v>
      </c>
      <c r="E24" s="1">
        <v>10.0</v>
      </c>
      <c r="F24" s="1">
        <v>100.0</v>
      </c>
      <c r="G24" s="1">
        <v>30.0</v>
      </c>
      <c r="H24" s="1">
        <v>3.0</v>
      </c>
      <c r="I24" s="1">
        <v>1.0</v>
      </c>
      <c r="J24" s="1" t="b">
        <v>0</v>
      </c>
      <c r="K24" s="1">
        <v>2000.0</v>
      </c>
      <c r="L24" s="1">
        <v>584.0</v>
      </c>
      <c r="M24" s="1">
        <v>54.0</v>
      </c>
      <c r="N24" s="1">
        <v>30.6070105443146</v>
      </c>
      <c r="O24" s="1">
        <v>0.0</v>
      </c>
    </row>
    <row r="25">
      <c r="A25" s="1">
        <v>24.0</v>
      </c>
      <c r="B25" s="1">
        <v>5.0</v>
      </c>
      <c r="C25" s="1">
        <v>0.1</v>
      </c>
      <c r="D25" s="1">
        <v>2.0</v>
      </c>
      <c r="E25" s="1">
        <v>10.0</v>
      </c>
      <c r="F25" s="1">
        <v>100.0</v>
      </c>
      <c r="G25" s="1">
        <v>30.0</v>
      </c>
      <c r="H25" s="1">
        <v>3.0</v>
      </c>
      <c r="I25" s="1">
        <v>1.0</v>
      </c>
      <c r="J25" s="1" t="b">
        <v>0</v>
      </c>
      <c r="K25" s="1">
        <v>2000.0</v>
      </c>
      <c r="L25" s="1">
        <v>628.0</v>
      </c>
      <c r="M25" s="1">
        <v>53.0</v>
      </c>
      <c r="N25" s="1">
        <v>41.5218010829296</v>
      </c>
      <c r="O25" s="1">
        <v>0.0</v>
      </c>
    </row>
    <row r="26">
      <c r="A26" s="1">
        <v>25.0</v>
      </c>
      <c r="B26" s="1">
        <v>5.0</v>
      </c>
      <c r="C26" s="1">
        <v>0.1</v>
      </c>
      <c r="D26" s="1">
        <v>2.0</v>
      </c>
      <c r="E26" s="1">
        <v>10.0</v>
      </c>
      <c r="F26" s="1">
        <v>100.0</v>
      </c>
      <c r="G26" s="1">
        <v>30.0</v>
      </c>
      <c r="H26" s="1">
        <v>3.0</v>
      </c>
      <c r="I26" s="1">
        <v>1.0</v>
      </c>
      <c r="J26" s="1" t="b">
        <v>0</v>
      </c>
      <c r="K26" s="1">
        <v>2000.0</v>
      </c>
      <c r="L26" s="1">
        <v>1186.0</v>
      </c>
      <c r="M26" s="1">
        <v>41.0</v>
      </c>
      <c r="N26" s="1">
        <v>47.4779139355941</v>
      </c>
      <c r="O26" s="1">
        <v>0.0</v>
      </c>
    </row>
    <row r="27">
      <c r="A27" s="1">
        <v>26.0</v>
      </c>
      <c r="B27" s="1">
        <v>5.0</v>
      </c>
      <c r="C27" s="1">
        <v>0.1</v>
      </c>
      <c r="D27" s="1">
        <v>2.0</v>
      </c>
      <c r="E27" s="1">
        <v>30.0</v>
      </c>
      <c r="F27" s="1">
        <v>100.0</v>
      </c>
      <c r="G27" s="1">
        <v>30.0</v>
      </c>
      <c r="H27" s="1">
        <v>3.0</v>
      </c>
      <c r="I27" s="1">
        <v>1.0</v>
      </c>
      <c r="J27" s="1" t="b">
        <v>0</v>
      </c>
      <c r="K27" s="1">
        <v>2000.0</v>
      </c>
      <c r="L27" s="1">
        <v>731.0</v>
      </c>
      <c r="M27" s="1">
        <v>51.0</v>
      </c>
      <c r="N27" s="1">
        <v>41.8637788543744</v>
      </c>
      <c r="O27" s="1">
        <v>0.0</v>
      </c>
    </row>
    <row r="28">
      <c r="A28" s="1">
        <v>27.0</v>
      </c>
      <c r="B28" s="1">
        <v>5.0</v>
      </c>
      <c r="C28" s="1">
        <v>0.1</v>
      </c>
      <c r="D28" s="1">
        <v>2.0</v>
      </c>
      <c r="E28" s="1">
        <v>30.0</v>
      </c>
      <c r="F28" s="1">
        <v>100.0</v>
      </c>
      <c r="G28" s="1">
        <v>30.0</v>
      </c>
      <c r="H28" s="1">
        <v>3.0</v>
      </c>
      <c r="I28" s="1">
        <v>1.0</v>
      </c>
      <c r="J28" s="1" t="b">
        <v>0</v>
      </c>
      <c r="K28" s="1">
        <v>2000.0</v>
      </c>
      <c r="L28" s="1">
        <v>1133.0</v>
      </c>
      <c r="M28" s="1">
        <v>58.0</v>
      </c>
      <c r="N28" s="1">
        <v>29.438586491878</v>
      </c>
      <c r="O28" s="1">
        <v>0.0</v>
      </c>
    </row>
    <row r="29">
      <c r="A29" s="1">
        <v>28.0</v>
      </c>
      <c r="B29" s="1">
        <v>5.0</v>
      </c>
      <c r="C29" s="1">
        <v>0.1</v>
      </c>
      <c r="D29" s="1">
        <v>2.0</v>
      </c>
      <c r="E29" s="1">
        <v>30.0</v>
      </c>
      <c r="F29" s="1">
        <v>100.0</v>
      </c>
      <c r="G29" s="1">
        <v>30.0</v>
      </c>
      <c r="H29" s="1">
        <v>3.0</v>
      </c>
      <c r="I29" s="1">
        <v>1.0</v>
      </c>
      <c r="J29" s="1" t="b">
        <v>0</v>
      </c>
      <c r="K29" s="1">
        <v>2000.0</v>
      </c>
      <c r="L29" s="1">
        <v>849.0</v>
      </c>
      <c r="M29" s="1">
        <v>47.0</v>
      </c>
      <c r="N29" s="1">
        <v>38.5579937304075</v>
      </c>
      <c r="O29" s="1">
        <v>0.0</v>
      </c>
    </row>
    <row r="30">
      <c r="A30" s="1">
        <v>29.0</v>
      </c>
      <c r="B30" s="1">
        <v>5.0</v>
      </c>
      <c r="C30" s="1">
        <v>0.1</v>
      </c>
      <c r="D30" s="1">
        <v>2.0</v>
      </c>
      <c r="E30" s="1">
        <v>30.0</v>
      </c>
      <c r="F30" s="1">
        <v>100.0</v>
      </c>
      <c r="G30" s="1">
        <v>30.0</v>
      </c>
      <c r="H30" s="1">
        <v>3.0</v>
      </c>
      <c r="I30" s="1">
        <v>1.0</v>
      </c>
      <c r="J30" s="1" t="b">
        <v>0</v>
      </c>
      <c r="K30" s="1">
        <v>2000.0</v>
      </c>
      <c r="L30" s="1">
        <v>763.0</v>
      </c>
      <c r="M30" s="1">
        <v>37.0</v>
      </c>
      <c r="N30" s="1">
        <v>30.920490168139</v>
      </c>
      <c r="O30" s="1">
        <v>0.0</v>
      </c>
    </row>
    <row r="31">
      <c r="A31" s="1">
        <v>30.0</v>
      </c>
      <c r="B31" s="1">
        <v>5.0</v>
      </c>
      <c r="C31" s="1">
        <v>0.1</v>
      </c>
      <c r="D31" s="1">
        <v>2.0</v>
      </c>
      <c r="E31" s="1">
        <v>30.0</v>
      </c>
      <c r="F31" s="1">
        <v>100.0</v>
      </c>
      <c r="G31" s="1">
        <v>30.0</v>
      </c>
      <c r="H31" s="1">
        <v>3.0</v>
      </c>
      <c r="I31" s="1">
        <v>1.0</v>
      </c>
      <c r="J31" s="1" t="b">
        <v>0</v>
      </c>
      <c r="K31" s="1">
        <v>2000.0</v>
      </c>
      <c r="L31" s="1">
        <v>742.0</v>
      </c>
      <c r="M31" s="1">
        <v>41.0</v>
      </c>
      <c r="N31" s="1">
        <v>47.819891707039</v>
      </c>
      <c r="O3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